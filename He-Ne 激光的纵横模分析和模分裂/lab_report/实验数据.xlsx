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ONOR\Documents\Codex\lab_report\He-Ne 激光的纵横模分析和模分裂\lab_report\"/>
    </mc:Choice>
  </mc:AlternateContent>
  <xr:revisionPtr revIDLastSave="0" documentId="13_ncr:1_{9247BEBC-0A58-4125-B01F-4482383F3BF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F27" i="1"/>
  <c r="F28" i="1"/>
  <c r="F29" i="1"/>
  <c r="E27" i="1"/>
  <c r="E28" i="1"/>
  <c r="E29" i="1"/>
  <c r="E26" i="1"/>
  <c r="H26" i="1" s="1"/>
  <c r="C31" i="1"/>
  <c r="H31" i="1" s="1"/>
  <c r="H34" i="1" s="1"/>
  <c r="D31" i="1"/>
  <c r="B31" i="1"/>
  <c r="C30" i="1"/>
  <c r="D30" i="1"/>
  <c r="B30" i="1"/>
  <c r="H30" i="1" s="1"/>
  <c r="H33" i="1" s="1"/>
  <c r="E21" i="1"/>
  <c r="C21" i="1"/>
  <c r="D21" i="1"/>
  <c r="B21" i="1"/>
  <c r="H21" i="1" s="1"/>
  <c r="C20" i="1"/>
  <c r="D20" i="1"/>
  <c r="E20" i="1"/>
  <c r="F20" i="1"/>
  <c r="B20" i="1"/>
  <c r="C11" i="1"/>
  <c r="D11" i="1"/>
  <c r="E11" i="1"/>
  <c r="B11" i="1"/>
  <c r="H11" i="1" s="1"/>
  <c r="C6" i="1"/>
  <c r="D6" i="1"/>
  <c r="E6" i="1"/>
  <c r="B6" i="1"/>
  <c r="H6" i="1" s="1"/>
  <c r="N3" i="1"/>
  <c r="C10" i="1"/>
  <c r="D10" i="1"/>
  <c r="E10" i="1"/>
  <c r="F10" i="1"/>
  <c r="B10" i="1"/>
  <c r="C5" i="1"/>
  <c r="D5" i="1"/>
  <c r="E5" i="1"/>
  <c r="F5" i="1"/>
  <c r="B5" i="1"/>
  <c r="H20" i="1" l="1"/>
  <c r="H5" i="1"/>
  <c r="H7" i="1" s="1"/>
  <c r="H10" i="1"/>
  <c r="H12" i="1" s="1"/>
  <c r="H22" i="1"/>
  <c r="H23" i="1" s="1"/>
  <c r="H14" i="1" l="1"/>
  <c r="H15" i="1" s="1"/>
</calcChain>
</file>

<file path=xl/sharedStrings.xml><?xml version="1.0" encoding="utf-8"?>
<sst xmlns="http://schemas.openxmlformats.org/spreadsheetml/2006/main" count="47" uniqueCount="27">
  <si>
    <t>逐差计算</t>
    <phoneticPr fontId="1" type="noConversion"/>
  </si>
  <si>
    <t>test2</t>
    <phoneticPr fontId="1" type="noConversion"/>
  </si>
  <si>
    <t>激励电压周期ms</t>
    <phoneticPr fontId="1" type="noConversion"/>
  </si>
  <si>
    <t>需要提供判据</t>
    <phoneticPr fontId="1" type="noConversion"/>
  </si>
  <si>
    <t>δν</t>
    <phoneticPr fontId="1" type="noConversion"/>
  </si>
  <si>
    <t>管长</t>
    <phoneticPr fontId="1" type="noConversion"/>
  </si>
  <si>
    <t>tem00</t>
    <phoneticPr fontId="1" type="noConversion"/>
  </si>
  <si>
    <t>tem01</t>
    <phoneticPr fontId="1" type="noConversion"/>
  </si>
  <si>
    <t>δT</t>
    <phoneticPr fontId="1" type="noConversion"/>
  </si>
  <si>
    <t>谐振腔频率</t>
    <phoneticPr fontId="1" type="noConversion"/>
  </si>
  <si>
    <t>2667MHz</t>
    <phoneticPr fontId="1" type="noConversion"/>
  </si>
  <si>
    <t>test1</t>
    <phoneticPr fontId="1" type="noConversion"/>
  </si>
  <si>
    <t>测量管长的实验</t>
    <phoneticPr fontId="1" type="noConversion"/>
  </si>
  <si>
    <t>δν</t>
    <phoneticPr fontId="1" type="noConversion"/>
  </si>
  <si>
    <t>δν平均</t>
    <phoneticPr fontId="1" type="noConversion"/>
  </si>
  <si>
    <t>真实管长</t>
    <phoneticPr fontId="1" type="noConversion"/>
  </si>
  <si>
    <t>222mm</t>
    <phoneticPr fontId="1" type="noConversion"/>
  </si>
  <si>
    <t>实验2</t>
    <phoneticPr fontId="1" type="noConversion"/>
  </si>
  <si>
    <t>寻找特殊的分布计算管长</t>
    <phoneticPr fontId="1" type="noConversion"/>
  </si>
  <si>
    <t>δT平均</t>
    <phoneticPr fontId="1" type="noConversion"/>
  </si>
  <si>
    <t>δt1横模</t>
    <phoneticPr fontId="1" type="noConversion"/>
  </si>
  <si>
    <t>δt2纵模</t>
    <phoneticPr fontId="1" type="noConversion"/>
  </si>
  <si>
    <t>δν1</t>
    <phoneticPr fontId="1" type="noConversion"/>
  </si>
  <si>
    <t>δν2</t>
    <phoneticPr fontId="1" type="noConversion"/>
  </si>
  <si>
    <t>δt平均</t>
    <phoneticPr fontId="1" type="noConversion"/>
  </si>
  <si>
    <t>原始数据（ms）</t>
    <phoneticPr fontId="1" type="noConversion"/>
  </si>
  <si>
    <t>单位MHz/ms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</si>
</sst>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J9" sqref="J9"/>
    </sheetView>
  </sheetViews>
  <sheetFormatPr defaultRowHeight="14" x14ac:dyDescent="0.3"/>
  <cols>
    <col min="1" max="1" width="13.9140625" customWidth="1"/>
    <col min="8" max="8" width="11.6640625" customWidth="1"/>
    <col min="10" max="10" width="14.33203125" customWidth="1"/>
    <col min="11" max="11" width="16.5" customWidth="1"/>
  </cols>
  <sheetData>
    <row r="1" spans="1:14" x14ac:dyDescent="0.3">
      <c r="A1" t="s">
        <v>9</v>
      </c>
      <c r="B1" t="s">
        <v>10</v>
      </c>
    </row>
    <row r="2" spans="1:14" x14ac:dyDescent="0.3">
      <c r="A2" t="s">
        <v>12</v>
      </c>
      <c r="C2" t="s">
        <v>15</v>
      </c>
      <c r="D2" t="s">
        <v>16</v>
      </c>
      <c r="H2" t="s">
        <v>26</v>
      </c>
    </row>
    <row r="3" spans="1:14" x14ac:dyDescent="0.3">
      <c r="A3" t="s">
        <v>11</v>
      </c>
      <c r="G3" t="s">
        <v>9</v>
      </c>
      <c r="H3">
        <v>2667</v>
      </c>
      <c r="J3" t="s">
        <v>3</v>
      </c>
      <c r="K3" t="s">
        <v>2</v>
      </c>
      <c r="L3">
        <v>20.55</v>
      </c>
      <c r="M3">
        <v>-11.2</v>
      </c>
      <c r="N3">
        <f>L3-M3</f>
        <v>31.75</v>
      </c>
    </row>
    <row r="4" spans="1:14" x14ac:dyDescent="0.3">
      <c r="A4" t="s">
        <v>25</v>
      </c>
      <c r="B4" s="1">
        <v>-3.85</v>
      </c>
      <c r="C4" s="1">
        <v>-1.6</v>
      </c>
      <c r="D4" s="1">
        <v>4.55</v>
      </c>
      <c r="E4" s="1">
        <v>6.55</v>
      </c>
      <c r="F4" s="1">
        <v>12.2</v>
      </c>
      <c r="G4" s="1">
        <v>14</v>
      </c>
    </row>
    <row r="5" spans="1:14" x14ac:dyDescent="0.3">
      <c r="A5" t="s">
        <v>0</v>
      </c>
      <c r="B5">
        <f>C4-B4</f>
        <v>2.25</v>
      </c>
      <c r="C5">
        <f t="shared" ref="C5:F5" si="0">D4-C4</f>
        <v>6.15</v>
      </c>
      <c r="D5">
        <f t="shared" si="0"/>
        <v>2</v>
      </c>
      <c r="E5">
        <f t="shared" si="0"/>
        <v>5.6499999999999995</v>
      </c>
      <c r="F5">
        <f t="shared" si="0"/>
        <v>1.8000000000000007</v>
      </c>
      <c r="G5" s="1" t="s">
        <v>24</v>
      </c>
      <c r="H5">
        <f>AVERAGE(B5,D5,F5)</f>
        <v>2.0166666666666671</v>
      </c>
    </row>
    <row r="6" spans="1:14" x14ac:dyDescent="0.3">
      <c r="A6" t="s">
        <v>8</v>
      </c>
      <c r="B6">
        <f>D4-B4</f>
        <v>8.4</v>
      </c>
      <c r="C6">
        <f t="shared" ref="C6:E6" si="1">E4-C4</f>
        <v>8.15</v>
      </c>
      <c r="D6">
        <f t="shared" si="1"/>
        <v>7.6499999999999995</v>
      </c>
      <c r="E6">
        <f t="shared" si="1"/>
        <v>7.45</v>
      </c>
      <c r="G6" s="1" t="s">
        <v>19</v>
      </c>
      <c r="H6">
        <f>AVERAGE(B6:E6)</f>
        <v>7.9124999999999996</v>
      </c>
    </row>
    <row r="7" spans="1:14" x14ac:dyDescent="0.3">
      <c r="G7" t="s">
        <v>13</v>
      </c>
      <c r="H7">
        <f>H3*H5/H6</f>
        <v>679.74091627172209</v>
      </c>
    </row>
    <row r="8" spans="1:14" x14ac:dyDescent="0.3">
      <c r="A8" t="s">
        <v>1</v>
      </c>
    </row>
    <row r="9" spans="1:14" x14ac:dyDescent="0.3">
      <c r="A9" t="s">
        <v>25</v>
      </c>
      <c r="B9" s="1">
        <v>-4.75</v>
      </c>
      <c r="C9" s="1">
        <v>-2.5499999999999998</v>
      </c>
      <c r="D9" s="1">
        <v>3.6</v>
      </c>
      <c r="E9" s="1">
        <v>5.55</v>
      </c>
      <c r="F9" s="1">
        <v>11.1</v>
      </c>
      <c r="G9" s="1">
        <v>12.9</v>
      </c>
    </row>
    <row r="10" spans="1:14" x14ac:dyDescent="0.3">
      <c r="A10" t="s">
        <v>0</v>
      </c>
      <c r="B10">
        <f>C9-B9</f>
        <v>2.2000000000000002</v>
      </c>
      <c r="C10">
        <f t="shared" ref="C10:F10" si="2">D9-C9</f>
        <v>6.15</v>
      </c>
      <c r="D10">
        <f t="shared" si="2"/>
        <v>1.9499999999999997</v>
      </c>
      <c r="E10">
        <f t="shared" si="2"/>
        <v>5.55</v>
      </c>
      <c r="F10">
        <f t="shared" si="2"/>
        <v>1.8000000000000007</v>
      </c>
      <c r="G10" s="1" t="s">
        <v>24</v>
      </c>
      <c r="H10">
        <f>AVERAGE(B10,D10,F10)</f>
        <v>1.9833333333333336</v>
      </c>
    </row>
    <row r="11" spans="1:14" x14ac:dyDescent="0.3">
      <c r="A11" t="s">
        <v>8</v>
      </c>
      <c r="B11">
        <f>D9-B9</f>
        <v>8.35</v>
      </c>
      <c r="C11">
        <f t="shared" ref="C11:E11" si="3">E9-C9</f>
        <v>8.1</v>
      </c>
      <c r="D11">
        <f t="shared" si="3"/>
        <v>7.5</v>
      </c>
      <c r="E11">
        <f t="shared" si="3"/>
        <v>7.3500000000000005</v>
      </c>
      <c r="G11" s="1" t="s">
        <v>19</v>
      </c>
      <c r="H11">
        <f>AVERAGE(B11:E11)</f>
        <v>7.8250000000000002</v>
      </c>
    </row>
    <row r="12" spans="1:14" x14ac:dyDescent="0.3">
      <c r="G12" t="s">
        <v>4</v>
      </c>
      <c r="H12">
        <f>H3*H10/H11</f>
        <v>675.98083067092659</v>
      </c>
    </row>
    <row r="14" spans="1:14" x14ac:dyDescent="0.3">
      <c r="G14" t="s">
        <v>14</v>
      </c>
      <c r="H14">
        <f>AVERAGE(H7,H12)</f>
        <v>677.86087347132434</v>
      </c>
    </row>
    <row r="15" spans="1:14" x14ac:dyDescent="0.3">
      <c r="G15" t="s">
        <v>5</v>
      </c>
      <c r="H15">
        <f>300/2/H14</f>
        <v>0.22128434590397622</v>
      </c>
    </row>
    <row r="17" spans="1:8" x14ac:dyDescent="0.3">
      <c r="A17" t="s">
        <v>17</v>
      </c>
      <c r="B17" t="s">
        <v>18</v>
      </c>
      <c r="E17" t="s">
        <v>15</v>
      </c>
    </row>
    <row r="18" spans="1:8" x14ac:dyDescent="0.3">
      <c r="A18" t="s">
        <v>6</v>
      </c>
    </row>
    <row r="19" spans="1:8" x14ac:dyDescent="0.3">
      <c r="A19" t="s">
        <v>25</v>
      </c>
      <c r="B19" s="1">
        <v>-6.35</v>
      </c>
      <c r="C19" s="1">
        <v>-4.8</v>
      </c>
      <c r="D19" s="1">
        <v>2</v>
      </c>
      <c r="E19" s="1">
        <v>3.35</v>
      </c>
      <c r="F19" s="1">
        <v>9.4</v>
      </c>
      <c r="G19" s="2">
        <v>10.65</v>
      </c>
    </row>
    <row r="20" spans="1:8" x14ac:dyDescent="0.3">
      <c r="A20" t="s">
        <v>0</v>
      </c>
      <c r="B20">
        <f>C19-B19</f>
        <v>1.5499999999999998</v>
      </c>
      <c r="C20">
        <f t="shared" ref="C20:F20" si="4">D19-C19</f>
        <v>6.8</v>
      </c>
      <c r="D20">
        <f t="shared" si="4"/>
        <v>1.35</v>
      </c>
      <c r="E20">
        <f t="shared" si="4"/>
        <v>6.0500000000000007</v>
      </c>
      <c r="F20">
        <f t="shared" si="4"/>
        <v>1.25</v>
      </c>
      <c r="G20" s="1" t="s">
        <v>24</v>
      </c>
      <c r="H20" s="1">
        <f>AVERAGE(B20,D20)</f>
        <v>1.45</v>
      </c>
    </row>
    <row r="21" spans="1:8" x14ac:dyDescent="0.3">
      <c r="A21" t="s">
        <v>8</v>
      </c>
      <c r="B21">
        <f>D19-B19</f>
        <v>8.35</v>
      </c>
      <c r="C21">
        <f t="shared" ref="C21:D21" si="5">E19-C19</f>
        <v>8.15</v>
      </c>
      <c r="D21">
        <f t="shared" si="5"/>
        <v>7.4</v>
      </c>
      <c r="E21">
        <f>G19-E19</f>
        <v>7.3000000000000007</v>
      </c>
      <c r="G21" s="1" t="s">
        <v>19</v>
      </c>
      <c r="H21" s="1">
        <f>AVERAGE(B21:E21)</f>
        <v>7.8</v>
      </c>
    </row>
    <row r="22" spans="1:8" x14ac:dyDescent="0.3">
      <c r="G22" s="1" t="s">
        <v>4</v>
      </c>
      <c r="H22" s="1">
        <f>H3*H20/H21</f>
        <v>495.78846153846155</v>
      </c>
    </row>
    <row r="23" spans="1:8" x14ac:dyDescent="0.3">
      <c r="G23" s="1" t="s">
        <v>5</v>
      </c>
      <c r="H23" s="1">
        <f>300/2/H22</f>
        <v>0.30254838834800823</v>
      </c>
    </row>
    <row r="25" spans="1:8" x14ac:dyDescent="0.3">
      <c r="A25" t="s">
        <v>7</v>
      </c>
      <c r="F25" t="s">
        <v>8</v>
      </c>
    </row>
    <row r="26" spans="1:8" x14ac:dyDescent="0.3">
      <c r="A26" t="s">
        <v>25</v>
      </c>
      <c r="B26" s="1">
        <v>-7.79</v>
      </c>
      <c r="C26" s="1">
        <v>0.74</v>
      </c>
      <c r="D26" s="1">
        <v>8.25</v>
      </c>
      <c r="E26" s="1">
        <f>C26-B26</f>
        <v>8.5299999999999994</v>
      </c>
      <c r="F26">
        <f>D26-C26</f>
        <v>7.51</v>
      </c>
      <c r="G26" s="1" t="s">
        <v>19</v>
      </c>
      <c r="H26" s="1">
        <f>AVERAGE(E26:F29)</f>
        <v>7.8999999999999995</v>
      </c>
    </row>
    <row r="27" spans="1:8" x14ac:dyDescent="0.3">
      <c r="A27" t="s">
        <v>25</v>
      </c>
      <c r="B27" s="1">
        <v>-7.29</v>
      </c>
      <c r="C27" s="1">
        <v>1.19</v>
      </c>
      <c r="D27" s="1">
        <v>8.64</v>
      </c>
      <c r="E27" s="1">
        <f t="shared" ref="E27:F29" si="6">C27-B27</f>
        <v>8.48</v>
      </c>
      <c r="F27">
        <f t="shared" si="6"/>
        <v>7.4500000000000011</v>
      </c>
    </row>
    <row r="28" spans="1:8" x14ac:dyDescent="0.3">
      <c r="A28" t="s">
        <v>25</v>
      </c>
      <c r="B28" s="1">
        <v>-6.16</v>
      </c>
      <c r="C28" s="1">
        <v>2.14</v>
      </c>
      <c r="D28" s="1">
        <v>9.5</v>
      </c>
      <c r="E28" s="1">
        <f t="shared" si="6"/>
        <v>8.3000000000000007</v>
      </c>
      <c r="F28">
        <f t="shared" si="6"/>
        <v>7.3599999999999994</v>
      </c>
    </row>
    <row r="29" spans="1:8" x14ac:dyDescent="0.3">
      <c r="A29" t="s">
        <v>25</v>
      </c>
      <c r="B29" s="1">
        <v>-5.71</v>
      </c>
      <c r="C29" s="1">
        <v>2.5499999999999998</v>
      </c>
      <c r="D29" s="1">
        <v>9.86</v>
      </c>
      <c r="E29" s="1">
        <f t="shared" si="6"/>
        <v>8.26</v>
      </c>
      <c r="F29">
        <f t="shared" si="6"/>
        <v>7.31</v>
      </c>
    </row>
    <row r="30" spans="1:8" x14ac:dyDescent="0.3">
      <c r="B30">
        <f>B27-B26</f>
        <v>0.5</v>
      </c>
      <c r="C30">
        <f t="shared" ref="C30:D30" si="7">C27-C26</f>
        <v>0.44999999999999996</v>
      </c>
      <c r="D30">
        <f t="shared" si="7"/>
        <v>0.39000000000000057</v>
      </c>
      <c r="G30" s="1" t="s">
        <v>20</v>
      </c>
      <c r="H30" s="1">
        <f>AVERAGE(B30:D30)</f>
        <v>0.44666666666666682</v>
      </c>
    </row>
    <row r="31" spans="1:8" x14ac:dyDescent="0.3">
      <c r="B31">
        <f>B28-B26</f>
        <v>1.63</v>
      </c>
      <c r="C31">
        <f t="shared" ref="C31:D31" si="8">C28-C26</f>
        <v>1.4000000000000001</v>
      </c>
      <c r="D31">
        <f t="shared" si="8"/>
        <v>1.25</v>
      </c>
      <c r="G31" s="1" t="s">
        <v>21</v>
      </c>
      <c r="H31" s="1">
        <f>AVERAGE(B31:D31)</f>
        <v>1.4266666666666667</v>
      </c>
    </row>
    <row r="33" spans="7:8" x14ac:dyDescent="0.3">
      <c r="G33" s="1" t="s">
        <v>22</v>
      </c>
      <c r="H33" s="1">
        <f>H3*H30/H26</f>
        <v>150.7924050632912</v>
      </c>
    </row>
    <row r="34" spans="7:8" x14ac:dyDescent="0.3">
      <c r="G34" s="1" t="s">
        <v>23</v>
      </c>
      <c r="H34" s="1">
        <f>H3*H31/H26</f>
        <v>481.63544303797471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建豪 林</cp:lastModifiedBy>
  <dcterms:created xsi:type="dcterms:W3CDTF">2015-06-05T18:19:34Z</dcterms:created>
  <dcterms:modified xsi:type="dcterms:W3CDTF">2026-09-12T02:50:19Z</dcterms:modified>
</cp:coreProperties>
</file>