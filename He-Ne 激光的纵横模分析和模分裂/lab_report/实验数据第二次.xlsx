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ONOR\Documents\Codex\lab_report\He-Ne 激光的纵横模分析和模分裂\lab_report\"/>
    </mc:Choice>
  </mc:AlternateContent>
  <xr:revisionPtr revIDLastSave="0" documentId="13_ncr:1_{EA16045D-3AE4-45AC-82DA-7E5C7508C322}" xr6:coauthVersionLast="47" xr6:coauthVersionMax="47" xr10:uidLastSave="{00000000-0000-0000-0000-000000000000}"/>
  <bookViews>
    <workbookView xWindow="4330" yWindow="2010" windowWidth="19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6" i="1" l="1"/>
  <c r="D37" i="1"/>
  <c r="D38" i="1"/>
  <c r="D39" i="1"/>
  <c r="D40" i="1"/>
  <c r="D41" i="1"/>
  <c r="D42" i="1"/>
  <c r="D43" i="1"/>
  <c r="D24" i="1"/>
  <c r="D25" i="1"/>
  <c r="D26" i="1"/>
  <c r="D27" i="1"/>
  <c r="D28" i="1"/>
  <c r="D29" i="1"/>
  <c r="D30" i="1"/>
  <c r="D31" i="1"/>
  <c r="D32" i="1"/>
  <c r="D33" i="1"/>
  <c r="D34" i="1"/>
  <c r="D35" i="1"/>
  <c r="D4" i="1"/>
  <c r="F4" i="1" s="1"/>
  <c r="D5" i="1"/>
  <c r="F5" i="1" s="1"/>
  <c r="D3" i="1"/>
  <c r="F3" i="1"/>
  <c r="F6" i="1" l="1"/>
</calcChain>
</file>

<file path=xl/sharedStrings.xml><?xml version="1.0" encoding="utf-8"?>
<sst xmlns="http://schemas.openxmlformats.org/spreadsheetml/2006/main" count="12" uniqueCount="12">
  <si>
    <t>出光带宽</t>
    <phoneticPr fontId="1" type="noConversion"/>
  </si>
  <si>
    <t>tR</t>
    <phoneticPr fontId="1" type="noConversion"/>
  </si>
  <si>
    <t>tL</t>
    <phoneticPr fontId="1" type="noConversion"/>
  </si>
  <si>
    <t>TFSR</t>
    <phoneticPr fontId="1" type="noConversion"/>
  </si>
  <si>
    <t>νFSR</t>
    <phoneticPr fontId="1" type="noConversion"/>
  </si>
  <si>
    <t>偏振片转过的角度</t>
    <phoneticPr fontId="1" type="noConversion"/>
  </si>
  <si>
    <t>一峰相对电位</t>
    <phoneticPr fontId="1" type="noConversion"/>
  </si>
  <si>
    <t>二峰相对点位</t>
    <phoneticPr fontId="1" type="noConversion"/>
  </si>
  <si>
    <t>晶片转角（2.2为垂直时示数）</t>
    <phoneticPr fontId="1" type="noConversion"/>
  </si>
  <si>
    <t>左峰</t>
    <phoneticPr fontId="1" type="noConversion"/>
  </si>
  <si>
    <t>右峰</t>
    <phoneticPr fontId="1" type="noConversion"/>
  </si>
  <si>
    <t>差值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</si>
</sst>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Sheet1!$A$8:$A$20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Sheet1!$B$8:$B$20</c:f>
              <c:numCache>
                <c:formatCode>General</c:formatCode>
                <c:ptCount val="13"/>
                <c:pt idx="0">
                  <c:v>-2.9830000000000001</c:v>
                </c:pt>
                <c:pt idx="1">
                  <c:v>-2.8660000000000001</c:v>
                </c:pt>
                <c:pt idx="2">
                  <c:v>-2.6659999999999999</c:v>
                </c:pt>
                <c:pt idx="3">
                  <c:v>-2.516</c:v>
                </c:pt>
                <c:pt idx="4">
                  <c:v>-2.35</c:v>
                </c:pt>
                <c:pt idx="5">
                  <c:v>-2.3330000000000002</c:v>
                </c:pt>
                <c:pt idx="6">
                  <c:v>-2.3460000000000001</c:v>
                </c:pt>
                <c:pt idx="7">
                  <c:v>-2.5659999999999998</c:v>
                </c:pt>
                <c:pt idx="8">
                  <c:v>-2.7160000000000002</c:v>
                </c:pt>
                <c:pt idx="9">
                  <c:v>-2.8</c:v>
                </c:pt>
                <c:pt idx="10">
                  <c:v>-2.8330000000000002</c:v>
                </c:pt>
                <c:pt idx="11">
                  <c:v>-2.633</c:v>
                </c:pt>
                <c:pt idx="12">
                  <c:v>-2.6829999999999998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6-436C-9F6C-BF00F4B8CF5C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Sheet1!$A$8:$A$20</c:f>
              <c:numCache>
                <c:formatCode>General</c:formatCode>
                <c:ptCount val="13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</c:numCache>
            </c:numRef>
          </c:xVal>
          <c:yVal>
            <c:numRef>
              <c:f>Sheet1!$C$8:$C$20</c:f>
              <c:numCache>
                <c:formatCode>General</c:formatCode>
                <c:ptCount val="13"/>
                <c:pt idx="0">
                  <c:v>-2.4329999999999998</c:v>
                </c:pt>
                <c:pt idx="1">
                  <c:v>-2.766</c:v>
                </c:pt>
                <c:pt idx="2">
                  <c:v>-3.0830000000000002</c:v>
                </c:pt>
                <c:pt idx="3">
                  <c:v>-3.1</c:v>
                </c:pt>
                <c:pt idx="4">
                  <c:v>-3.3660000000000001</c:v>
                </c:pt>
                <c:pt idx="5">
                  <c:v>-3.6659999999999999</c:v>
                </c:pt>
                <c:pt idx="6">
                  <c:v>-3.65</c:v>
                </c:pt>
                <c:pt idx="7">
                  <c:v>-3.4159999999999999</c:v>
                </c:pt>
                <c:pt idx="8">
                  <c:v>-3</c:v>
                </c:pt>
                <c:pt idx="9">
                  <c:v>-2.6</c:v>
                </c:pt>
                <c:pt idx="10">
                  <c:v>-2.383</c:v>
                </c:pt>
                <c:pt idx="11">
                  <c:v>-2.35</c:v>
                </c:pt>
                <c:pt idx="12">
                  <c:v>-2.4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06-436C-9F6C-BF00F4B8C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9574655"/>
        <c:axId val="1916442511"/>
      </c:scatterChart>
      <c:valAx>
        <c:axId val="193957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6442511"/>
        <c:crosses val="autoZero"/>
        <c:crossBetween val="midCat"/>
      </c:valAx>
      <c:valAx>
        <c:axId val="191644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39574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Sheet1!$A$24:$A$34</c:f>
              <c:numCache>
                <c:formatCode>General</c:formatCode>
                <c:ptCount val="11"/>
                <c:pt idx="0">
                  <c:v>2.2000000000000002</c:v>
                </c:pt>
                <c:pt idx="1">
                  <c:v>3.2</c:v>
                </c:pt>
                <c:pt idx="2">
                  <c:v>4.2</c:v>
                </c:pt>
                <c:pt idx="3">
                  <c:v>5.2</c:v>
                </c:pt>
                <c:pt idx="4">
                  <c:v>6.2</c:v>
                </c:pt>
                <c:pt idx="5">
                  <c:v>7.2</c:v>
                </c:pt>
                <c:pt idx="6">
                  <c:v>8.1999999999999993</c:v>
                </c:pt>
                <c:pt idx="7">
                  <c:v>9.1999999999999993</c:v>
                </c:pt>
                <c:pt idx="8">
                  <c:v>10.199999999999999</c:v>
                </c:pt>
                <c:pt idx="9">
                  <c:v>11.2</c:v>
                </c:pt>
                <c:pt idx="10">
                  <c:v>12.2</c:v>
                </c:pt>
              </c:numCache>
            </c:numRef>
          </c:xVal>
          <c:yVal>
            <c:numRef>
              <c:f>Sheet1!$D$24:$D$34</c:f>
              <c:numCache>
                <c:formatCode>General</c:formatCode>
                <c:ptCount val="11"/>
                <c:pt idx="0">
                  <c:v>1.25</c:v>
                </c:pt>
                <c:pt idx="1">
                  <c:v>1.4999999999999996</c:v>
                </c:pt>
                <c:pt idx="2">
                  <c:v>1.4000000000000001</c:v>
                </c:pt>
                <c:pt idx="3">
                  <c:v>1.4500000000000002</c:v>
                </c:pt>
                <c:pt idx="4">
                  <c:v>1.2499999999999996</c:v>
                </c:pt>
                <c:pt idx="5">
                  <c:v>1.4500000000000002</c:v>
                </c:pt>
                <c:pt idx="6">
                  <c:v>1.5000000000000004</c:v>
                </c:pt>
                <c:pt idx="7">
                  <c:v>1.5</c:v>
                </c:pt>
                <c:pt idx="8">
                  <c:v>0.75</c:v>
                </c:pt>
                <c:pt idx="9">
                  <c:v>0.65000000000000036</c:v>
                </c:pt>
                <c:pt idx="10">
                  <c:v>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96-4A79-AF37-432206688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41919"/>
        <c:axId val="1916466991"/>
      </c:scatterChart>
      <c:valAx>
        <c:axId val="205184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6466991"/>
        <c:crosses val="autoZero"/>
        <c:crossBetween val="midCat"/>
      </c:valAx>
      <c:valAx>
        <c:axId val="191646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184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54768</xdr:colOff>
      <xdr:row>0</xdr:row>
      <xdr:rowOff>0</xdr:rowOff>
    </xdr:from>
    <xdr:to>
      <xdr:col>14</xdr:col>
      <xdr:colOff>92868</xdr:colOff>
      <xdr:row>15</xdr:row>
      <xdr:rowOff>100012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B5BCF6D-3215-3A7D-DED8-EE3E3DACE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645318</xdr:colOff>
      <xdr:row>18</xdr:row>
      <xdr:rowOff>21430</xdr:rowOff>
    </xdr:from>
    <xdr:to>
      <xdr:col>15</xdr:col>
      <xdr:colOff>35718</xdr:colOff>
      <xdr:row>33</xdr:row>
      <xdr:rowOff>121442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FB14792-A7D4-96BE-EE3E-AF52551BB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topLeftCell="A28" workbookViewId="0">
      <selection activeCell="D43" sqref="D43"/>
    </sheetView>
  </sheetViews>
  <sheetFormatPr defaultRowHeight="14" x14ac:dyDescent="0.3"/>
  <cols>
    <col min="1" max="1" width="23.58203125" customWidth="1"/>
    <col min="2" max="2" width="12.33203125" customWidth="1"/>
    <col min="3" max="3" width="11.83203125" customWidth="1"/>
  </cols>
  <sheetData>
    <row r="1" spans="1:6" x14ac:dyDescent="0.3">
      <c r="A1" t="s">
        <v>0</v>
      </c>
    </row>
    <row r="2" spans="1:6" x14ac:dyDescent="0.3">
      <c r="B2" t="s">
        <v>1</v>
      </c>
      <c r="C2" t="s">
        <v>2</v>
      </c>
      <c r="D2" t="s">
        <v>3</v>
      </c>
      <c r="E2" t="s">
        <v>4</v>
      </c>
    </row>
    <row r="3" spans="1:6" x14ac:dyDescent="0.3">
      <c r="A3">
        <v>1</v>
      </c>
      <c r="B3">
        <v>-0.9</v>
      </c>
      <c r="C3">
        <v>-3.6</v>
      </c>
      <c r="D3">
        <f>(7.5+8.8-2.5-1.15)/2</f>
        <v>6.3250000000000002</v>
      </c>
      <c r="E3">
        <v>2667</v>
      </c>
      <c r="F3">
        <f>E3*(B3-C3)/D3</f>
        <v>1138.4822134387352</v>
      </c>
    </row>
    <row r="4" spans="1:6" x14ac:dyDescent="0.3">
      <c r="A4">
        <v>2</v>
      </c>
      <c r="B4">
        <v>4.55</v>
      </c>
      <c r="C4">
        <v>2.0499999999999998</v>
      </c>
      <c r="D4">
        <f t="shared" ref="D4:D5" si="0">(7.5+8.8-2.5-1.15)/2</f>
        <v>6.3250000000000002</v>
      </c>
      <c r="E4">
        <v>2667</v>
      </c>
      <c r="F4">
        <f>E4*(B4-C4)/D4</f>
        <v>1054.1501976284585</v>
      </c>
    </row>
    <row r="5" spans="1:6" x14ac:dyDescent="0.3">
      <c r="A5">
        <v>3</v>
      </c>
      <c r="B5">
        <v>-17.25</v>
      </c>
      <c r="C5">
        <v>-19.899999999999999</v>
      </c>
      <c r="D5">
        <f t="shared" si="0"/>
        <v>6.3250000000000002</v>
      </c>
      <c r="E5">
        <v>2667</v>
      </c>
      <c r="F5">
        <f t="shared" ref="F5" si="1">E5*(B5-C5)/D5</f>
        <v>1117.3992094861653</v>
      </c>
    </row>
    <row r="6" spans="1:6" x14ac:dyDescent="0.3">
      <c r="F6">
        <f>AVERAGE(F3:F5)</f>
        <v>1103.3438735177863</v>
      </c>
    </row>
    <row r="7" spans="1:6" x14ac:dyDescent="0.3">
      <c r="A7" t="s">
        <v>5</v>
      </c>
      <c r="B7" t="s">
        <v>6</v>
      </c>
      <c r="C7" t="s">
        <v>7</v>
      </c>
    </row>
    <row r="8" spans="1:6" x14ac:dyDescent="0.3">
      <c r="A8">
        <v>0</v>
      </c>
      <c r="B8">
        <v>-2.9830000000000001</v>
      </c>
      <c r="C8">
        <v>-2.4329999999999998</v>
      </c>
    </row>
    <row r="9" spans="1:6" x14ac:dyDescent="0.3">
      <c r="A9">
        <v>15</v>
      </c>
      <c r="B9">
        <v>-2.8660000000000001</v>
      </c>
      <c r="C9">
        <v>-2.766</v>
      </c>
    </row>
    <row r="10" spans="1:6" x14ac:dyDescent="0.3">
      <c r="A10">
        <v>30</v>
      </c>
      <c r="B10">
        <v>-2.6659999999999999</v>
      </c>
      <c r="C10">
        <v>-3.0830000000000002</v>
      </c>
    </row>
    <row r="11" spans="1:6" x14ac:dyDescent="0.3">
      <c r="A11">
        <v>45</v>
      </c>
      <c r="B11">
        <v>-2.516</v>
      </c>
      <c r="C11">
        <v>-3.1</v>
      </c>
    </row>
    <row r="12" spans="1:6" x14ac:dyDescent="0.3">
      <c r="A12">
        <v>60</v>
      </c>
      <c r="B12">
        <v>-2.35</v>
      </c>
      <c r="C12">
        <v>-3.3660000000000001</v>
      </c>
    </row>
    <row r="13" spans="1:6" x14ac:dyDescent="0.3">
      <c r="A13">
        <v>75</v>
      </c>
      <c r="B13">
        <v>-2.3330000000000002</v>
      </c>
      <c r="C13">
        <v>-3.6659999999999999</v>
      </c>
    </row>
    <row r="14" spans="1:6" x14ac:dyDescent="0.3">
      <c r="A14">
        <v>90</v>
      </c>
      <c r="B14">
        <v>-2.3460000000000001</v>
      </c>
      <c r="C14">
        <v>-3.65</v>
      </c>
    </row>
    <row r="15" spans="1:6" x14ac:dyDescent="0.3">
      <c r="A15">
        <v>105</v>
      </c>
      <c r="B15">
        <v>-2.5659999999999998</v>
      </c>
      <c r="C15">
        <v>-3.4159999999999999</v>
      </c>
    </row>
    <row r="16" spans="1:6" x14ac:dyDescent="0.3">
      <c r="A16">
        <v>120</v>
      </c>
      <c r="B16">
        <v>-2.7160000000000002</v>
      </c>
      <c r="C16">
        <v>-3</v>
      </c>
    </row>
    <row r="17" spans="1:4" x14ac:dyDescent="0.3">
      <c r="A17">
        <v>135</v>
      </c>
      <c r="B17">
        <v>-2.8</v>
      </c>
      <c r="C17">
        <v>-2.6</v>
      </c>
    </row>
    <row r="18" spans="1:4" x14ac:dyDescent="0.3">
      <c r="A18">
        <v>150</v>
      </c>
      <c r="B18">
        <v>-2.8330000000000002</v>
      </c>
      <c r="C18">
        <v>-2.383</v>
      </c>
    </row>
    <row r="19" spans="1:4" x14ac:dyDescent="0.3">
      <c r="A19">
        <v>165</v>
      </c>
      <c r="B19">
        <v>-2.633</v>
      </c>
      <c r="C19">
        <v>-2.35</v>
      </c>
    </row>
    <row r="20" spans="1:4" x14ac:dyDescent="0.3">
      <c r="A20">
        <v>180</v>
      </c>
      <c r="B20">
        <v>-2.6829999999999998</v>
      </c>
      <c r="C20">
        <v>-2.4</v>
      </c>
    </row>
    <row r="23" spans="1:4" x14ac:dyDescent="0.3">
      <c r="A23" t="s">
        <v>8</v>
      </c>
      <c r="B23" t="s">
        <v>9</v>
      </c>
      <c r="C23" t="s">
        <v>10</v>
      </c>
      <c r="D23" t="s">
        <v>11</v>
      </c>
    </row>
    <row r="24" spans="1:4" x14ac:dyDescent="0.3">
      <c r="A24">
        <v>2.2000000000000002</v>
      </c>
      <c r="B24">
        <v>-5.05</v>
      </c>
      <c r="C24">
        <v>-3.8</v>
      </c>
      <c r="D24">
        <f t="shared" ref="D24:D43" si="2">(+C24-B24)</f>
        <v>1.25</v>
      </c>
    </row>
    <row r="25" spans="1:4" x14ac:dyDescent="0.3">
      <c r="A25">
        <v>3.2</v>
      </c>
      <c r="B25">
        <v>-4.8499999999999996</v>
      </c>
      <c r="C25">
        <v>-3.35</v>
      </c>
      <c r="D25">
        <f t="shared" si="2"/>
        <v>1.4999999999999996</v>
      </c>
    </row>
    <row r="26" spans="1:4" x14ac:dyDescent="0.3">
      <c r="A26">
        <v>4.2</v>
      </c>
      <c r="B26">
        <v>-3.2</v>
      </c>
      <c r="C26">
        <v>-1.8</v>
      </c>
      <c r="D26">
        <f t="shared" si="2"/>
        <v>1.4000000000000001</v>
      </c>
    </row>
    <row r="27" spans="1:4" x14ac:dyDescent="0.3">
      <c r="A27">
        <v>5.2</v>
      </c>
      <c r="B27">
        <v>-3.5</v>
      </c>
      <c r="C27">
        <v>-2.0499999999999998</v>
      </c>
      <c r="D27">
        <f t="shared" si="2"/>
        <v>1.4500000000000002</v>
      </c>
    </row>
    <row r="28" spans="1:4" x14ac:dyDescent="0.3">
      <c r="A28">
        <v>6.2</v>
      </c>
      <c r="B28">
        <v>-4.3499999999999996</v>
      </c>
      <c r="C28">
        <v>-3.1</v>
      </c>
      <c r="D28">
        <f t="shared" si="2"/>
        <v>1.2499999999999996</v>
      </c>
    </row>
    <row r="29" spans="1:4" x14ac:dyDescent="0.3">
      <c r="A29">
        <v>7.2</v>
      </c>
      <c r="B29">
        <v>-4.45</v>
      </c>
      <c r="C29">
        <v>-3</v>
      </c>
      <c r="D29">
        <f t="shared" si="2"/>
        <v>1.4500000000000002</v>
      </c>
    </row>
    <row r="30" spans="1:4" x14ac:dyDescent="0.3">
      <c r="A30">
        <v>8.1999999999999993</v>
      </c>
      <c r="B30">
        <v>-4.9000000000000004</v>
      </c>
      <c r="C30">
        <v>-3.4</v>
      </c>
      <c r="D30">
        <f t="shared" si="2"/>
        <v>1.5000000000000004</v>
      </c>
    </row>
    <row r="31" spans="1:4" x14ac:dyDescent="0.3">
      <c r="A31">
        <v>9.1999999999999993</v>
      </c>
      <c r="B31">
        <v>-6.25</v>
      </c>
      <c r="C31">
        <v>-4.75</v>
      </c>
      <c r="D31">
        <f t="shared" si="2"/>
        <v>1.5</v>
      </c>
    </row>
    <row r="32" spans="1:4" x14ac:dyDescent="0.3">
      <c r="A32">
        <v>10.199999999999999</v>
      </c>
      <c r="B32">
        <v>-4.9000000000000004</v>
      </c>
      <c r="C32">
        <v>-4.1500000000000004</v>
      </c>
      <c r="D32">
        <f t="shared" si="2"/>
        <v>0.75</v>
      </c>
    </row>
    <row r="33" spans="1:4" x14ac:dyDescent="0.3">
      <c r="A33">
        <v>11.2</v>
      </c>
      <c r="B33">
        <v>8.25</v>
      </c>
      <c r="C33">
        <v>8.9</v>
      </c>
      <c r="D33">
        <f t="shared" si="2"/>
        <v>0.65000000000000036</v>
      </c>
    </row>
    <row r="34" spans="1:4" x14ac:dyDescent="0.3">
      <c r="A34">
        <v>12.2</v>
      </c>
      <c r="B34">
        <v>1.9</v>
      </c>
      <c r="C34">
        <v>2.65</v>
      </c>
      <c r="D34">
        <f t="shared" si="2"/>
        <v>0.75</v>
      </c>
    </row>
    <row r="35" spans="1:4" x14ac:dyDescent="0.3">
      <c r="A35">
        <v>2.2999999999999998</v>
      </c>
      <c r="B35">
        <v>-4.5999999999999996</v>
      </c>
      <c r="C35">
        <v>-4.4000000000000004</v>
      </c>
      <c r="D35">
        <f>(+C35-B35)</f>
        <v>0.19999999999999929</v>
      </c>
    </row>
    <row r="36" spans="1:4" x14ac:dyDescent="0.3">
      <c r="A36">
        <v>2.4</v>
      </c>
      <c r="B36">
        <v>1.75</v>
      </c>
      <c r="C36">
        <v>2.85</v>
      </c>
      <c r="D36">
        <f t="shared" si="2"/>
        <v>1.1000000000000001</v>
      </c>
    </row>
    <row r="37" spans="1:4" x14ac:dyDescent="0.3">
      <c r="A37">
        <v>2.6</v>
      </c>
      <c r="B37">
        <v>2.1</v>
      </c>
      <c r="C37">
        <v>2.2999999999999998</v>
      </c>
      <c r="D37">
        <f t="shared" si="2"/>
        <v>0.19999999999999973</v>
      </c>
    </row>
    <row r="38" spans="1:4" x14ac:dyDescent="0.3">
      <c r="A38">
        <v>2.8</v>
      </c>
      <c r="B38">
        <v>-5.4</v>
      </c>
      <c r="C38">
        <v>-4.2</v>
      </c>
      <c r="D38">
        <f t="shared" si="2"/>
        <v>1.2000000000000002</v>
      </c>
    </row>
    <row r="39" spans="1:4" x14ac:dyDescent="0.3">
      <c r="A39">
        <v>2.9</v>
      </c>
      <c r="B39">
        <v>-4.9000000000000004</v>
      </c>
      <c r="C39">
        <v>-3.45</v>
      </c>
      <c r="D39">
        <f t="shared" si="2"/>
        <v>1.4500000000000002</v>
      </c>
    </row>
    <row r="40" spans="1:4" x14ac:dyDescent="0.3">
      <c r="A40">
        <v>3</v>
      </c>
      <c r="B40">
        <v>-4.5999999999999996</v>
      </c>
      <c r="C40">
        <v>-3</v>
      </c>
      <c r="D40">
        <f t="shared" si="2"/>
        <v>1.5999999999999996</v>
      </c>
    </row>
    <row r="41" spans="1:4" x14ac:dyDescent="0.3">
      <c r="A41">
        <v>3.1</v>
      </c>
      <c r="B41">
        <v>-5.5</v>
      </c>
      <c r="C41">
        <v>-4.2</v>
      </c>
      <c r="D41">
        <f t="shared" si="2"/>
        <v>1.2999999999999998</v>
      </c>
    </row>
    <row r="42" spans="1:4" x14ac:dyDescent="0.3">
      <c r="A42">
        <v>3.4</v>
      </c>
      <c r="B42">
        <v>-4.6500000000000004</v>
      </c>
      <c r="C42">
        <v>-3.2</v>
      </c>
      <c r="D42">
        <f t="shared" si="2"/>
        <v>1.4500000000000002</v>
      </c>
    </row>
    <row r="43" spans="1:4" x14ac:dyDescent="0.3">
      <c r="A43">
        <v>3.6</v>
      </c>
      <c r="B43">
        <v>-5.3</v>
      </c>
      <c r="C43">
        <v>-3.9</v>
      </c>
      <c r="D43">
        <f t="shared" si="2"/>
        <v>1.4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建豪 林</cp:lastModifiedBy>
  <dcterms:created xsi:type="dcterms:W3CDTF">2015-06-05T18:19:34Z</dcterms:created>
  <dcterms:modified xsi:type="dcterms:W3CDTF">2026-09-18T17:09:24Z</dcterms:modified>
</cp:coreProperties>
</file>